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ographic_Command_Deck" sheetId="1" state="visible" r:id="rId1"/>
    <sheet xmlns:r="http://schemas.openxmlformats.org/officeDocument/2006/relationships" name="Clinical_Master_Data" sheetId="2" state="visible" r:id="rId2"/>
    <sheet xmlns:r="http://schemas.openxmlformats.org/officeDocument/2006/relationships" name="Calculations_Cache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EGP&quot;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00F0FF"/>
      <sz val="8.5"/>
    </font>
    <font>
      <name val="Segoe UI"/>
      <b val="1"/>
      <color rgb="0094A3B8"/>
      <sz val="8"/>
    </font>
    <font>
      <name val="Segoe UI"/>
      <b val="1"/>
      <color rgb="00FFFFFF"/>
      <sz val="14"/>
    </font>
    <font>
      <name val="Segoe UI"/>
      <b val="1"/>
      <color rgb="0000E5A3"/>
      <sz val="7.5"/>
    </font>
    <font>
      <name val="Segoe UI"/>
      <b val="1"/>
      <color rgb="0000E5A3"/>
      <sz val="8.5"/>
    </font>
    <font>
      <name val="Segoe UI"/>
      <b val="1"/>
      <color rgb="00F59E0B"/>
      <sz val="8.5"/>
    </font>
    <font>
      <name val="Segoe UI"/>
      <b val="1"/>
      <color rgb="00A855F7"/>
      <sz val="8.5"/>
    </font>
    <font>
      <name val="Segoe UI"/>
      <b val="1"/>
      <color rgb="00FFFFFF"/>
      <sz val="9"/>
    </font>
    <font>
      <name val="Segoe UI"/>
      <sz val="8.5"/>
    </font>
  </fonts>
  <fills count="6">
    <fill>
      <patternFill/>
    </fill>
    <fill>
      <patternFill patternType="gray125"/>
    </fill>
    <fill>
      <patternFill patternType="solid">
        <fgColor rgb="00050B14"/>
        <bgColor rgb="00050B14"/>
      </patternFill>
    </fill>
    <fill>
      <patternFill patternType="solid">
        <fgColor rgb="000B192E"/>
        <bgColor rgb="000B192E"/>
      </patternFill>
    </fill>
    <fill>
      <patternFill patternType="solid">
        <fgColor rgb="000F172A"/>
        <bgColor rgb="000F172A"/>
      </patternFill>
    </fill>
    <fill>
      <patternFill patternType="solid">
        <fgColor rgb="00004D40"/>
        <bgColor rgb="00004D40"/>
      </patternFill>
    </fill>
  </fills>
  <borders count="10">
    <border>
      <left/>
      <right/>
      <top/>
      <bottom/>
      <diagonal/>
    </border>
    <border>
      <left style="thin">
        <color rgb="0000F0FF"/>
      </left>
      <right style="thin">
        <color rgb="0000F0FF"/>
      </right>
      <top style="thin">
        <color rgb="0000F0FF"/>
      </top>
      <bottom style="thin">
        <color rgb="0000F0FF"/>
      </bottom>
    </border>
    <border>
      <left/>
      <right/>
      <top style="thin">
        <color rgb="0000F0FF"/>
      </top>
      <bottom/>
      <diagonal/>
    </border>
    <border>
      <left/>
      <right style="thin">
        <color rgb="0000F0FF"/>
      </right>
      <top style="thin">
        <color rgb="0000F0FF"/>
      </top>
      <bottom/>
      <diagonal/>
    </border>
    <border>
      <left/>
      <right/>
      <top style="thin">
        <color rgb="0000F0FF"/>
      </top>
      <bottom style="thin">
        <color rgb="0000F0FF"/>
      </bottom>
      <diagonal/>
    </border>
    <border>
      <left/>
      <right style="thin">
        <color rgb="0000F0FF"/>
      </right>
      <top style="thin">
        <color rgb="0000F0FF"/>
      </top>
      <bottom style="thin">
        <color rgb="0000F0FF"/>
      </bottom>
      <diagonal/>
    </border>
    <border>
      <left style="thin">
        <color rgb="0000F0FF"/>
      </left>
      <right style="thin">
        <color rgb="001E293B"/>
      </right>
      <top style="thin">
        <color rgb="001E293B"/>
      </top>
      <bottom style="thin">
        <color rgb="001E293B"/>
      </bottom>
    </border>
    <border>
      <left style="thin">
        <color rgb="0000E5A3"/>
      </left>
      <right style="thin">
        <color rgb="001E293B"/>
      </right>
      <top style="thin">
        <color rgb="001E293B"/>
      </top>
      <bottom style="thin">
        <color rgb="001E293B"/>
      </bottom>
    </border>
    <border>
      <left style="thin">
        <color rgb="00F59E0B"/>
      </left>
      <right style="thin">
        <color rgb="001E293B"/>
      </right>
      <top style="thin">
        <color rgb="001E293B"/>
      </top>
      <bottom style="thin">
        <color rgb="001E293B"/>
      </bottom>
    </border>
    <border>
      <left style="thin">
        <color rgb="00A855F7"/>
      </left>
      <right style="thin">
        <color rgb="001E293B"/>
      </right>
      <top style="thin">
        <color rgb="001E293B"/>
      </top>
      <bottom style="thin">
        <color rgb="001E293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4" borderId="6" applyAlignment="1" pivotButton="0" quotePrefix="0" xfId="0">
      <alignment horizontal="left" vertical="center"/>
    </xf>
    <xf numFmtId="0" fontId="0" fillId="4" borderId="6" pivotButton="0" quotePrefix="0" xfId="0"/>
    <xf numFmtId="0" fontId="6" fillId="4" borderId="7" applyAlignment="1" pivotButton="0" quotePrefix="0" xfId="0">
      <alignment horizontal="left" vertical="center"/>
    </xf>
    <xf numFmtId="0" fontId="0" fillId="4" borderId="7" pivotButton="0" quotePrefix="0" xfId="0"/>
    <xf numFmtId="0" fontId="7" fillId="4" borderId="8" applyAlignment="1" pivotButton="0" quotePrefix="0" xfId="0">
      <alignment horizontal="left" vertical="center"/>
    </xf>
    <xf numFmtId="0" fontId="0" fillId="4" borderId="8" pivotButton="0" quotePrefix="0" xfId="0"/>
    <xf numFmtId="0" fontId="8" fillId="4" borderId="9" applyAlignment="1" pivotButton="0" quotePrefix="0" xfId="0">
      <alignment horizontal="left" vertical="center"/>
    </xf>
    <xf numFmtId="0" fontId="0" fillId="4" borderId="9" pivotButton="0" quotePrefix="0" xfId="0"/>
    <xf numFmtId="0" fontId="9" fillId="5" borderId="0" applyAlignment="1" pivotButton="0" quotePrefix="0" xfId="0">
      <alignment horizontal="center" vertical="center"/>
    </xf>
    <xf numFmtId="0" fontId="10" fillId="0" borderId="0" pivotButton="0" quotePrefix="0" xfId="0"/>
    <xf numFmtId="164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📈 90-Day Patient Inflow Forecast (ARIMA)</a:t>
            </a:r>
          </a:p>
        </rich>
      </tx>
    </title>
    <plotArea>
      <lineChart>
        <grouping val="standard"/>
        <ser>
          <idx val="0"/>
          <order val="0"/>
          <tx>
            <strRef>
              <f>'Calculations_Cache'!B1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'Calculations_Cache'!$A$2:$A$10</f>
            </numRef>
          </cat>
          <val>
            <numRef>
              <f>'Calculations_Cache'!$B$2:$B$10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Patients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📊 Ward vs ICU Caseload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'Calculations_Cache'!E1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'Calculations_Cache'!$D$2:$D$6</f>
            </numRef>
          </cat>
          <val>
            <numRef>
              <f>'Calculations_Cache'!$E$2:$E$6</f>
            </numRef>
          </val>
        </ser>
        <ser>
          <idx val="1"/>
          <order val="1"/>
          <tx>
            <strRef>
              <f>'Calculations_Cache'!F1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'Calculations_Cache'!$D$2:$D$6</f>
            </numRef>
          </cat>
          <val>
            <numRef>
              <f>'Calculations_Cache'!$F$2:$F$6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Active Beds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8</row>
      <rowOff>0</rowOff>
    </from>
    <ext cx="55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8</row>
      <rowOff>0</rowOff>
    </from>
    <ext cx="558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4" customWidth="1" min="18" max="1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2" t="inlineStr">
        <is>
          <t>💎 HOLOGRAPHIC CLINICAL COMMAND DECK • EXECUTIVE INTELLIGENCE</t>
        </is>
      </c>
      <c r="R2" s="1" t="n"/>
    </row>
    <row r="3">
      <c r="A3" s="1" t="n"/>
      <c r="B3" s="3" t="inlineStr">
        <is>
          <t>Full-Spectrum Clinical Operations • Descriptive, Diagnostic, Predictive &amp; Prescriptive Analytics • Cairo HQ</t>
        </is>
      </c>
      <c r="R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</row>
    <row r="5">
      <c r="A5" s="1" t="n"/>
      <c r="B5" s="4" t="inlineStr">
        <is>
          <t>TOTAL CASELOAD</t>
        </is>
      </c>
      <c r="C5" s="5" t="n"/>
      <c r="D5" s="6" t="n"/>
      <c r="E5" s="4" t="inlineStr">
        <is>
          <t>ACTIVE WARD BEDS</t>
        </is>
      </c>
      <c r="F5" s="5" t="n"/>
      <c r="G5" s="6" t="n"/>
      <c r="H5" s="4" t="inlineStr">
        <is>
          <t>AVG LENGTH OF STAY</t>
        </is>
      </c>
      <c r="I5" s="5" t="n"/>
      <c r="J5" s="6" t="n"/>
      <c r="K5" s="4" t="inlineStr">
        <is>
          <t>PATIENT CSAT SCORE</t>
        </is>
      </c>
      <c r="L5" s="5" t="n"/>
      <c r="M5" s="6" t="n"/>
      <c r="N5" s="4" t="inlineStr">
        <is>
          <t>TOTAL REVENUE (EGP)</t>
        </is>
      </c>
      <c r="O5" s="5" t="n"/>
      <c r="P5" s="5" t="n"/>
      <c r="Q5" s="6" t="n"/>
      <c r="R5" s="1" t="n"/>
    </row>
    <row r="6">
      <c r="A6" s="1" t="n"/>
      <c r="B6" s="7" t="inlineStr">
        <is>
          <t>1,450</t>
        </is>
      </c>
      <c r="C6" s="5" t="n"/>
      <c r="D6" s="6" t="n"/>
      <c r="E6" s="7" t="inlineStr">
        <is>
          <t>482</t>
        </is>
      </c>
      <c r="F6" s="5" t="n"/>
      <c r="G6" s="6" t="n"/>
      <c r="H6" s="7" t="inlineStr">
        <is>
          <t>5.8 Days</t>
        </is>
      </c>
      <c r="I6" s="5" t="n"/>
      <c r="J6" s="6" t="n"/>
      <c r="K6" s="7" t="inlineStr">
        <is>
          <t>4.85 ★</t>
        </is>
      </c>
      <c r="L6" s="5" t="n"/>
      <c r="M6" s="6" t="n"/>
      <c r="N6" s="7" t="inlineStr">
        <is>
          <t>28.45M EGP</t>
        </is>
      </c>
      <c r="O6" s="5" t="n"/>
      <c r="P6" s="5" t="n"/>
      <c r="Q6" s="6" t="n"/>
      <c r="R6" s="1" t="n"/>
    </row>
    <row r="7">
      <c r="A7" s="1" t="n"/>
      <c r="B7" s="8" t="inlineStr">
        <is>
          <t>▲ +14.2% Growth</t>
        </is>
      </c>
      <c r="C7" s="5" t="n"/>
      <c r="D7" s="6" t="n"/>
      <c r="E7" s="8" t="inlineStr">
        <is>
          <t>● 91.4% Occupancy</t>
        </is>
      </c>
      <c r="F7" s="5" t="n"/>
      <c r="G7" s="6" t="n"/>
      <c r="H7" s="8" t="inlineStr">
        <is>
          <t>▼ -0.6d Boost</t>
        </is>
      </c>
      <c r="I7" s="5" t="n"/>
      <c r="J7" s="6" t="n"/>
      <c r="K7" s="8" t="inlineStr">
        <is>
          <t>▲ 97.8% Rating</t>
        </is>
      </c>
      <c r="L7" s="5" t="n"/>
      <c r="M7" s="6" t="n"/>
      <c r="N7" s="8" t="inlineStr">
        <is>
          <t>▲ +18.6% Yield</t>
        </is>
      </c>
      <c r="O7" s="5" t="n"/>
      <c r="P7" s="5" t="n"/>
      <c r="Q7" s="6" t="n"/>
      <c r="R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>
      <c r="A24" s="1" t="n"/>
      <c r="B24" s="9" t="inlineStr">
        <is>
          <t>🎯 AI PRESCRIPTIVE DECISION RECOMMENDATIONS (CLINICAL WORKFORCE &amp; YIELD)</t>
        </is>
      </c>
      <c r="R24" s="1" t="n"/>
    </row>
    <row r="25">
      <c r="A25" s="1" t="n"/>
      <c r="B25" s="10" t="inlineStr">
        <is>
          <t>⚡ Dynamic Ward Shift: Shift 8 step-down beds to Monitored Cardiac Recovery to prevent ICU bottleneck.</t>
        </is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" t="n"/>
    </row>
    <row r="26">
      <c r="A26" s="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" t="n"/>
    </row>
    <row r="27">
      <c r="A27" s="1" t="n"/>
      <c r="B27" s="12" t="inlineStr">
        <is>
          <t>💡 Accelerated Claims: InstaPay &amp; Corporate Swift approvals cleared 32% faster in Cairo HQ. Scale to Alexandria.</t>
        </is>
      </c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" t="n"/>
    </row>
    <row r="28">
      <c r="A28" s="1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" t="n"/>
    </row>
    <row r="29">
      <c r="A29" s="1" t="n"/>
      <c r="B29" s="14" t="inlineStr">
        <is>
          <t>⏱️ Morning Discharge Protocol: Reduced avg stay from 6.4d to 5.8d, freeing 22 net bed-days weekly.</t>
        </is>
      </c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" t="n"/>
    </row>
    <row r="30">
      <c r="A30" s="1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" t="n"/>
    </row>
    <row r="31">
      <c r="A31" s="1" t="n"/>
      <c r="B31" s="16" t="inlineStr">
        <is>
          <t>🔮 Winter Surge Preparedness: Monte Carlo model shows 94% probability of pediatric bed cap by Dec 15.</t>
        </is>
      </c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" t="n"/>
    </row>
    <row r="32">
      <c r="A32" s="1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</sheetData>
  <mergeCells count="22">
    <mergeCell ref="B31:Q32"/>
    <mergeCell ref="B27:Q28"/>
    <mergeCell ref="N6:Q6"/>
    <mergeCell ref="B24:Q24"/>
    <mergeCell ref="H7:J7"/>
    <mergeCell ref="E6:G6"/>
    <mergeCell ref="H6:J6"/>
    <mergeCell ref="B29:Q30"/>
    <mergeCell ref="E7:G7"/>
    <mergeCell ref="N7:Q7"/>
    <mergeCell ref="B6:D6"/>
    <mergeCell ref="K7:M7"/>
    <mergeCell ref="B3:Q3"/>
    <mergeCell ref="B5:D5"/>
    <mergeCell ref="K6:M6"/>
    <mergeCell ref="H5:J5"/>
    <mergeCell ref="B2:Q2"/>
    <mergeCell ref="B7:D7"/>
    <mergeCell ref="N5:Q5"/>
    <mergeCell ref="E5:G5"/>
    <mergeCell ref="K5:M5"/>
    <mergeCell ref="B25:Q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8" t="inlineStr">
        <is>
          <t>Patient ID</t>
        </is>
      </c>
      <c r="B1" s="18" t="inlineStr">
        <is>
          <t>Patient Name</t>
        </is>
      </c>
      <c r="C1" s="18" t="inlineStr">
        <is>
          <t>Age / Gender</t>
        </is>
      </c>
      <c r="D1" s="18" t="inlineStr">
        <is>
          <t>Clinical Division</t>
        </is>
      </c>
      <c r="E1" s="18" t="inlineStr">
        <is>
          <t>Primary Diagnosis</t>
        </is>
      </c>
      <c r="F1" s="18" t="inlineStr">
        <is>
          <t>Hospital Hub</t>
        </is>
      </c>
      <c r="G1" s="18" t="inlineStr">
        <is>
          <t>Bed Status</t>
        </is>
      </c>
      <c r="H1" s="18" t="inlineStr">
        <is>
          <t>Billing (EGP)</t>
        </is>
      </c>
    </row>
    <row r="2">
      <c r="A2" s="19" t="inlineStr">
        <is>
          <t>PAT-1001</t>
        </is>
      </c>
      <c r="B2" s="19" t="inlineStr">
        <is>
          <t>أحمد الشناوي (Ahmed El-Shennawy)</t>
        </is>
      </c>
      <c r="C2" s="19" t="inlineStr">
        <is>
          <t>54 / M</t>
        </is>
      </c>
      <c r="D2" s="19" t="inlineStr">
        <is>
          <t>Cardiology</t>
        </is>
      </c>
      <c r="E2" s="19" t="inlineStr">
        <is>
          <t>Coronary Angioplasty</t>
        </is>
      </c>
      <c r="F2" s="19" t="inlineStr">
        <is>
          <t>Cairo HQ</t>
        </is>
      </c>
      <c r="G2" s="19" t="inlineStr">
        <is>
          <t>Inpatient</t>
        </is>
      </c>
      <c r="H2" s="20" t="n">
        <v>58400</v>
      </c>
    </row>
    <row r="3">
      <c r="A3" s="19" t="inlineStr">
        <is>
          <t>PAT-1002</t>
        </is>
      </c>
      <c r="B3" s="19" t="inlineStr">
        <is>
          <t>مريم عبد العزيز (Mariam Abdel-Aziz)</t>
        </is>
      </c>
      <c r="C3" s="19" t="inlineStr">
        <is>
          <t>32 / F</t>
        </is>
      </c>
      <c r="D3" s="19" t="inlineStr">
        <is>
          <t>Orthopedics</t>
        </is>
      </c>
      <c r="E3" s="19" t="inlineStr">
        <is>
          <t>Knee Arthroscopy</t>
        </is>
      </c>
      <c r="F3" s="19" t="inlineStr">
        <is>
          <t>Smart Village</t>
        </is>
      </c>
      <c r="G3" s="19" t="inlineStr">
        <is>
          <t>Discharged</t>
        </is>
      </c>
      <c r="H3" s="20" t="n">
        <v>34200</v>
      </c>
    </row>
    <row r="4">
      <c r="A4" s="19" t="inlineStr">
        <is>
          <t>PAT-1003</t>
        </is>
      </c>
      <c r="B4" s="19" t="inlineStr">
        <is>
          <t>عمر المنشاوي (Omar El-Minshawy)</t>
        </is>
      </c>
      <c r="C4" s="19" t="inlineStr">
        <is>
          <t>61 / M</t>
        </is>
      </c>
      <c r="D4" s="19" t="inlineStr">
        <is>
          <t>Neurology</t>
        </is>
      </c>
      <c r="E4" s="19" t="inlineStr">
        <is>
          <t>Ischemic Stroke</t>
        </is>
      </c>
      <c r="F4" s="19" t="inlineStr">
        <is>
          <t>Alexandria</t>
        </is>
      </c>
      <c r="G4" s="19" t="inlineStr">
        <is>
          <t>ICU</t>
        </is>
      </c>
      <c r="H4" s="20" t="n">
        <v>82500</v>
      </c>
    </row>
    <row r="5">
      <c r="A5" s="19" t="inlineStr">
        <is>
          <t>PAT-1004</t>
        </is>
      </c>
      <c r="B5" s="19" t="inlineStr">
        <is>
          <t>نور سليمان (Nour Soliman)</t>
        </is>
      </c>
      <c r="C5" s="19" t="inlineStr">
        <is>
          <t>6 / F</t>
        </is>
      </c>
      <c r="D5" s="19" t="inlineStr">
        <is>
          <t>Pediatrics</t>
        </is>
      </c>
      <c r="E5" s="19" t="inlineStr">
        <is>
          <t>Bronchitis &amp; Nebulizer</t>
        </is>
      </c>
      <c r="F5" s="19" t="inlineStr">
        <is>
          <t>Cairo HQ</t>
        </is>
      </c>
      <c r="G5" s="19" t="inlineStr">
        <is>
          <t>Discharged</t>
        </is>
      </c>
      <c r="H5" s="20" t="n">
        <v>16800</v>
      </c>
    </row>
    <row r="6">
      <c r="A6" s="19" t="inlineStr">
        <is>
          <t>PAT-1005</t>
        </is>
      </c>
      <c r="B6" s="19" t="inlineStr">
        <is>
          <t>كريم الشربيني (Kareem El-Sherbini)</t>
        </is>
      </c>
      <c r="C6" s="19" t="inlineStr">
        <is>
          <t>47 / M</t>
        </is>
      </c>
      <c r="D6" s="19" t="inlineStr">
        <is>
          <t>Oncology</t>
        </is>
      </c>
      <c r="E6" s="19" t="inlineStr">
        <is>
          <t>Chemotherapy Infusion</t>
        </is>
      </c>
      <c r="F6" s="19" t="inlineStr">
        <is>
          <t>Mansoura</t>
        </is>
      </c>
      <c r="G6" s="19" t="inlineStr">
        <is>
          <t>Inpatient</t>
        </is>
      </c>
      <c r="H6" s="20" t="n">
        <v>64000</v>
      </c>
    </row>
    <row r="7">
      <c r="A7" s="19" t="inlineStr">
        <is>
          <t>PAT-1006</t>
        </is>
      </c>
      <c r="B7" s="19" t="inlineStr">
        <is>
          <t>فاطمة البحيري (Fatma El-Beheiry)</t>
        </is>
      </c>
      <c r="C7" s="19" t="inlineStr">
        <is>
          <t>28 / F</t>
        </is>
      </c>
      <c r="D7" s="19" t="inlineStr">
        <is>
          <t>Emergency</t>
        </is>
      </c>
      <c r="E7" s="19" t="inlineStr">
        <is>
          <t>Acute Appendicitis</t>
        </is>
      </c>
      <c r="F7" s="19" t="inlineStr">
        <is>
          <t>Assiut</t>
        </is>
      </c>
      <c r="G7" s="19" t="inlineStr">
        <is>
          <t>Discharged</t>
        </is>
      </c>
      <c r="H7" s="20" t="n">
        <v>28500</v>
      </c>
    </row>
    <row r="8">
      <c r="A8" s="19" t="inlineStr">
        <is>
          <t>PAT-1007</t>
        </is>
      </c>
      <c r="B8" s="19" t="inlineStr">
        <is>
          <t>طارق غانم (Tarek Ghanem)</t>
        </is>
      </c>
      <c r="C8" s="19" t="inlineStr">
        <is>
          <t>59 / M</t>
        </is>
      </c>
      <c r="D8" s="19" t="inlineStr">
        <is>
          <t>Cardiology</t>
        </is>
      </c>
      <c r="E8" s="19" t="inlineStr">
        <is>
          <t>Arrhythmia Ablation</t>
        </is>
      </c>
      <c r="F8" s="19" t="inlineStr">
        <is>
          <t>Cairo HQ</t>
        </is>
      </c>
      <c r="G8" s="19" t="inlineStr">
        <is>
          <t>Inpatient</t>
        </is>
      </c>
      <c r="H8" s="20" t="n">
        <v>72100</v>
      </c>
    </row>
    <row r="9">
      <c r="A9" s="19" t="inlineStr">
        <is>
          <t>PAT-1008</t>
        </is>
      </c>
      <c r="B9" s="19" t="inlineStr">
        <is>
          <t>سارة الألفي (Sara El-Alfy)</t>
        </is>
      </c>
      <c r="C9" s="19" t="inlineStr">
        <is>
          <t>39 / F</t>
        </is>
      </c>
      <c r="D9" s="19" t="inlineStr">
        <is>
          <t>Orthopedics</t>
        </is>
      </c>
      <c r="E9" s="19" t="inlineStr">
        <is>
          <t>Spinal Decompression</t>
        </is>
      </c>
      <c r="F9" s="19" t="inlineStr">
        <is>
          <t>Smart Village</t>
        </is>
      </c>
      <c r="G9" s="19" t="inlineStr">
        <is>
          <t>Inpatient</t>
        </is>
      </c>
      <c r="H9" s="20" t="n">
        <v>48000</v>
      </c>
    </row>
    <row r="10">
      <c r="A10" s="19" t="inlineStr">
        <is>
          <t>PAT-1009</t>
        </is>
      </c>
      <c r="B10" s="19" t="inlineStr">
        <is>
          <t>يوسف الصاوي (Youssef El-Sawy)</t>
        </is>
      </c>
      <c r="C10" s="19" t="inlineStr">
        <is>
          <t>72 / M</t>
        </is>
      </c>
      <c r="D10" s="19" t="inlineStr">
        <is>
          <t>Neurology</t>
        </is>
      </c>
      <c r="E10" s="19" t="inlineStr">
        <is>
          <t>Parkinson Assessment</t>
        </is>
      </c>
      <c r="F10" s="19" t="inlineStr">
        <is>
          <t>Alexandria</t>
        </is>
      </c>
      <c r="G10" s="19" t="inlineStr">
        <is>
          <t>Discharged</t>
        </is>
      </c>
      <c r="H10" s="20" t="n">
        <v>22400</v>
      </c>
    </row>
    <row r="11">
      <c r="A11" s="19" t="inlineStr">
        <is>
          <t>PAT-1010</t>
        </is>
      </c>
      <c r="B11" s="19" t="inlineStr">
        <is>
          <t>هناء الدسوقي (Hanaa El-Desouky)</t>
        </is>
      </c>
      <c r="C11" s="19" t="inlineStr">
        <is>
          <t>50 / F</t>
        </is>
      </c>
      <c r="D11" s="19" t="inlineStr">
        <is>
          <t>Oncology</t>
        </is>
      </c>
      <c r="E11" s="19" t="inlineStr">
        <is>
          <t>Breast Lumpectomy</t>
        </is>
      </c>
      <c r="F11" s="19" t="inlineStr">
        <is>
          <t>Cairo HQ</t>
        </is>
      </c>
      <c r="G11" s="19" t="inlineStr">
        <is>
          <t>ICU</t>
        </is>
      </c>
      <c r="H11" s="20" t="n">
        <v>91000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Caseload</t>
        </is>
      </c>
      <c r="D1" t="inlineStr">
        <is>
          <t>Department</t>
        </is>
      </c>
      <c r="E1" t="inlineStr">
        <is>
          <t>Ward</t>
        </is>
      </c>
      <c r="F1" t="inlineStr">
        <is>
          <t>ICU</t>
        </is>
      </c>
    </row>
    <row r="2">
      <c r="A2" t="inlineStr">
        <is>
          <t>May</t>
        </is>
      </c>
      <c r="B2" t="n">
        <v>380</v>
      </c>
      <c r="D2" t="inlineStr">
        <is>
          <t>Cardiology</t>
        </is>
      </c>
      <c r="E2" t="n">
        <v>95</v>
      </c>
      <c r="F2" t="n">
        <v>35</v>
      </c>
    </row>
    <row r="3">
      <c r="A3" t="inlineStr">
        <is>
          <t>Jun</t>
        </is>
      </c>
      <c r="B3" t="n">
        <v>410</v>
      </c>
      <c r="D3" t="inlineStr">
        <is>
          <t>Orthopedics</t>
        </is>
      </c>
      <c r="E3" t="n">
        <v>80</v>
      </c>
      <c r="F3" t="n">
        <v>15</v>
      </c>
    </row>
    <row r="4">
      <c r="A4" t="inlineStr">
        <is>
          <t>Jul</t>
        </is>
      </c>
      <c r="B4" t="n">
        <v>445</v>
      </c>
      <c r="D4" t="inlineStr">
        <is>
          <t>Neurology</t>
        </is>
      </c>
      <c r="E4" t="n">
        <v>65</v>
      </c>
      <c r="F4" t="n">
        <v>25</v>
      </c>
    </row>
    <row r="5">
      <c r="A5" t="inlineStr">
        <is>
          <t>Aug</t>
        </is>
      </c>
      <c r="B5" t="n">
        <v>470</v>
      </c>
      <c r="D5" t="inlineStr">
        <is>
          <t>Pediatrics</t>
        </is>
      </c>
      <c r="E5" t="n">
        <v>70</v>
      </c>
      <c r="F5" t="n">
        <v>12</v>
      </c>
    </row>
    <row r="6">
      <c r="A6" t="inlineStr">
        <is>
          <t>Sep</t>
        </is>
      </c>
      <c r="B6" t="n">
        <v>460</v>
      </c>
      <c r="D6" t="inlineStr">
        <is>
          <t>Oncology</t>
        </is>
      </c>
      <c r="E6" t="n">
        <v>55</v>
      </c>
      <c r="F6" t="n">
        <v>18</v>
      </c>
    </row>
    <row r="7">
      <c r="A7" t="inlineStr">
        <is>
          <t>Oct</t>
        </is>
      </c>
      <c r="B7" t="n">
        <v>482</v>
      </c>
    </row>
    <row r="8">
      <c r="A8" t="inlineStr">
        <is>
          <t>Nov (P)</t>
        </is>
      </c>
      <c r="B8" t="n">
        <v>515</v>
      </c>
    </row>
    <row r="9">
      <c r="A9" t="inlineStr">
        <is>
          <t>Dec (P)</t>
        </is>
      </c>
      <c r="B9" t="n">
        <v>540</v>
      </c>
    </row>
    <row r="10">
      <c r="A10" t="inlineStr">
        <is>
          <t>Jan (P)</t>
        </is>
      </c>
      <c r="B10" t="n">
        <v>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2026-10-29T03:02:08Z</dcterms:created>
  <dcterms:modified xmlns:dcterms="http://purl.org/dc/terms/" xmlns:xsi="http://www.w3.org/2001/XMLSchema-instance" xsi:type="dcterms:W3CDTF">2026-10-29T03:02:08Z</dcterms:modified>
</cp:coreProperties>
</file>